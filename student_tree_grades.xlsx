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成績與樹木狀態" sheetId="1" state="visible" r:id="rId1"/>
    <sheet xmlns:r="http://schemas.openxmlformats.org/officeDocument/2006/relationships" name="系統說明與規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sz val="11"/>
    </font>
    <font>
      <name val="Microsoft JhengHei"/>
      <b val="1"/>
      <color rgb="002C5E43"/>
      <sz val="16"/>
    </font>
  </fonts>
  <fills count="5">
    <fill>
      <patternFill/>
    </fill>
    <fill>
      <patternFill patternType="gray125"/>
    </fill>
    <fill>
      <patternFill patternType="solid">
        <fgColor rgb="002C5E43"/>
        <bgColor rgb="002C5E43"/>
      </patternFill>
    </fill>
    <fill>
      <patternFill patternType="solid">
        <fgColor rgb="00FFFFFF"/>
        <bgColor rgb="00FFFFFF"/>
      </patternFill>
    </fill>
    <fill>
      <patternFill patternType="solid">
        <fgColor rgb="00F4F7F5"/>
        <bgColor rgb="00F4F7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2">
    <dxf>
      <font>
        <name val="Microsoft JhengHei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Microsoft JhengHei"/>
        <b val="1"/>
        <color rgb="00C65911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25" customWidth="1" min="5" max="5"/>
    <col width="23" customWidth="1" min="6" max="6"/>
    <col width="59" customWidth="1" min="7" max="7"/>
    <col width="15" customWidth="1" min="8" max="8"/>
    <col width="15" customWidth="1" min="9" max="9"/>
    <col width="189" customWidth="1" min="10" max="10"/>
  </cols>
  <sheetData>
    <row r="1" ht="28" customHeight="1">
      <c r="A1" s="1" t="inlineStr">
        <is>
          <t>學號</t>
        </is>
      </c>
      <c r="B1" s="1" t="inlineStr">
        <is>
          <t>姓名</t>
        </is>
      </c>
      <c r="C1" s="1" t="inlineStr">
        <is>
          <t>平時表現1 (20%)</t>
        </is>
      </c>
      <c r="D1" s="1" t="inlineStr">
        <is>
          <t>平時表現2 (20%)</t>
        </is>
      </c>
      <c r="E1" s="1" t="inlineStr">
        <is>
          <t>平時表現3 (20%)</t>
        </is>
      </c>
      <c r="F1" s="1" t="inlineStr">
        <is>
          <t>定期評量 (40%)</t>
        </is>
      </c>
      <c r="G1" s="1" t="inlineStr">
        <is>
          <t>本次綜合分數</t>
        </is>
      </c>
      <c r="H1" s="1" t="inlineStr">
        <is>
          <t>上次綜合分數</t>
        </is>
      </c>
      <c r="I1" s="1" t="inlineStr">
        <is>
          <t>進步幅度</t>
        </is>
      </c>
      <c r="J1" s="1" t="inlineStr">
        <is>
          <t>樹木等級</t>
        </is>
      </c>
    </row>
    <row r="2" ht="22" customHeight="1">
      <c r="A2" s="2" t="inlineStr">
        <is>
          <t>S001</t>
        </is>
      </c>
      <c r="B2" s="2" t="inlineStr">
        <is>
          <t>林小明</t>
        </is>
      </c>
      <c r="C2" s="3" t="n">
        <v>85</v>
      </c>
      <c r="D2" s="3" t="n">
        <v>90</v>
      </c>
      <c r="E2" s="3" t="n">
        <v>88</v>
      </c>
      <c r="F2" s="3" t="n">
        <v>92</v>
      </c>
      <c r="G2" s="4">
        <f>C2*0.2+D2*0.2+E2*0.2+F2*0.4</f>
        <v/>
      </c>
      <c r="H2" s="3" t="n">
        <v>82</v>
      </c>
      <c r="I2" s="4">
        <f>G2-H2</f>
        <v/>
      </c>
      <c r="J2" s="5">
        <f>IF(I2&gt;=5, "5_茂盛大樹", IF(I2&gt;=1, "4_微幅成長", IF(I2&gt;=0, "3_小樹苗", IF(I2&gt;=-4, "2_些微落葉", "1_枯萎樹木"))))</f>
        <v/>
      </c>
    </row>
    <row r="3" ht="22" customHeight="1">
      <c r="A3" s="6" t="inlineStr">
        <is>
          <t>S002</t>
        </is>
      </c>
      <c r="B3" s="6" t="inlineStr">
        <is>
          <t>陳大同</t>
        </is>
      </c>
      <c r="C3" s="7" t="n">
        <v>70</v>
      </c>
      <c r="D3" s="7" t="n">
        <v>75</v>
      </c>
      <c r="E3" s="7" t="n">
        <v>72</v>
      </c>
      <c r="F3" s="7" t="n">
        <v>68</v>
      </c>
      <c r="G3" s="8">
        <f>C3*0.2+D3*0.2+E3*0.2+F3*0.4</f>
        <v/>
      </c>
      <c r="H3" s="7" t="n">
        <v>74</v>
      </c>
      <c r="I3" s="8">
        <f>G3-H3</f>
        <v/>
      </c>
      <c r="J3" s="9">
        <f>IF(I3&gt;=5, "5_茂盛大樹", IF(I3&gt;=1, "4_微幅成長", IF(I3&gt;=0, "3_小樹苗", IF(I3&gt;=-4, "2_些微落葉", "1_枯萎樹木"))))</f>
        <v/>
      </c>
    </row>
    <row r="4" ht="22" customHeight="1">
      <c r="A4" s="2" t="inlineStr">
        <is>
          <t>S003</t>
        </is>
      </c>
      <c r="B4" s="2" t="inlineStr">
        <is>
          <t>張美麗</t>
        </is>
      </c>
      <c r="C4" s="3" t="n">
        <v>92</v>
      </c>
      <c r="D4" s="3" t="n">
        <v>95</v>
      </c>
      <c r="E4" s="3" t="n">
        <v>94</v>
      </c>
      <c r="F4" s="3" t="n">
        <v>96</v>
      </c>
      <c r="G4" s="4">
        <f>C4*0.2+D4*0.2+E4*0.2+F4*0.4</f>
        <v/>
      </c>
      <c r="H4" s="3" t="n">
        <v>95</v>
      </c>
      <c r="I4" s="4">
        <f>G4-H4</f>
        <v/>
      </c>
      <c r="J4" s="5">
        <f>IF(I4&gt;=5, "5_茂盛大樹", IF(I4&gt;=1, "4_微幅成長", IF(I4&gt;=0, "3_小樹苗", IF(I4&gt;=-4, "2_些微落葉", "1_枯萎樹木"))))</f>
        <v/>
      </c>
    </row>
    <row r="5" ht="22" customHeight="1">
      <c r="A5" s="6" t="inlineStr">
        <is>
          <t>S004</t>
        </is>
      </c>
      <c r="B5" s="6" t="inlineStr">
        <is>
          <t>王阿華</t>
        </is>
      </c>
      <c r="C5" s="7" t="n">
        <v>60</v>
      </c>
      <c r="D5" s="7" t="n">
        <v>65</v>
      </c>
      <c r="E5" s="7" t="n">
        <v>58</v>
      </c>
      <c r="F5" s="7" t="n">
        <v>50</v>
      </c>
      <c r="G5" s="8">
        <f>C5*0.2+D5*0.2+E5*0.2+F5*0.4</f>
        <v/>
      </c>
      <c r="H5" s="7" t="n">
        <v>62</v>
      </c>
      <c r="I5" s="8">
        <f>G5-H5</f>
        <v/>
      </c>
      <c r="J5" s="9">
        <f>IF(I5&gt;=5, "5_茂盛大樹", IF(I5&gt;=1, "4_微幅成長", IF(I5&gt;=0, "3_小樹苗", IF(I5&gt;=-4, "2_些微落葉", "1_枯萎樹木"))))</f>
        <v/>
      </c>
    </row>
    <row r="6" ht="22" customHeight="1">
      <c r="A6" s="2" t="inlineStr">
        <is>
          <t>S005</t>
        </is>
      </c>
      <c r="B6" s="2" t="inlineStr">
        <is>
          <t>李志豪</t>
        </is>
      </c>
      <c r="C6" s="3" t="n">
        <v>80</v>
      </c>
      <c r="D6" s="3" t="n">
        <v>82</v>
      </c>
      <c r="E6" s="3" t="n">
        <v>85</v>
      </c>
      <c r="F6" s="3" t="n">
        <v>80</v>
      </c>
      <c r="G6" s="4">
        <f>C6*0.2+D6*0.2+E6*0.2+F6*0.4</f>
        <v/>
      </c>
      <c r="H6" s="3" t="n">
        <v>81</v>
      </c>
      <c r="I6" s="4">
        <f>G6-H6</f>
        <v/>
      </c>
      <c r="J6" s="5">
        <f>IF(I6&gt;=5, "5_茂盛大樹", IF(I6&gt;=1, "4_微幅成長", IF(I6&gt;=0, "3_小樹苗", IF(I6&gt;=-4, "2_些微落葉", "1_枯萎樹木"))))</f>
        <v/>
      </c>
    </row>
    <row r="7" ht="22" customHeight="1">
      <c r="A7" s="6" t="inlineStr">
        <is>
          <t>S006</t>
        </is>
      </c>
      <c r="B7" s="6" t="inlineStr">
        <is>
          <t>黃詩婷</t>
        </is>
      </c>
      <c r="C7" s="7" t="n">
        <v>78</v>
      </c>
      <c r="D7" s="7" t="n">
        <v>88</v>
      </c>
      <c r="E7" s="7" t="n">
        <v>80</v>
      </c>
      <c r="F7" s="7" t="n">
        <v>85</v>
      </c>
      <c r="G7" s="8">
        <f>C7*0.2+D7*0.2+E7*0.2+F7*0.4</f>
        <v/>
      </c>
      <c r="H7" s="7" t="n">
        <v>75</v>
      </c>
      <c r="I7" s="8">
        <f>G7-H7</f>
        <v/>
      </c>
      <c r="J7" s="9">
        <f>IF(I7&gt;=5, "5_茂盛大樹", IF(I7&gt;=1, "4_微幅成長", IF(I7&gt;=0, "3_小樹苗", IF(I7&gt;=-4, "2_些微落葉", "1_枯萎樹木"))))</f>
        <v/>
      </c>
    </row>
  </sheetData>
  <conditionalFormatting sqref="I2:I7">
    <cfRule type="cellIs" priority="1" operator="greaterThanOrEqual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07" customWidth="1" min="2" max="2"/>
  </cols>
  <sheetData>
    <row r="1" ht="35" customHeight="1">
      <c r="A1" s="10" t="inlineStr">
        <is>
          <t>學生成績大樹成長系統 - 規則說明</t>
        </is>
      </c>
    </row>
    <row r="2">
      <c r="A2" t="inlineStr"/>
      <c r="B2" t="inlineStr"/>
    </row>
    <row r="3" ht="24" customHeight="1">
      <c r="A3" s="11" t="inlineStr">
        <is>
          <t>項目</t>
        </is>
      </c>
      <c r="B3" s="11" t="inlineStr">
        <is>
          <t>規則說明與權重設計</t>
        </is>
      </c>
    </row>
    <row r="4" ht="20" customHeight="1">
      <c r="A4" s="12" t="inlineStr">
        <is>
          <t>綜合分數計算</t>
        </is>
      </c>
      <c r="B4" s="13" t="inlineStr">
        <is>
          <t>平時表現1 (20%) + 平時表現2 (20%) + 平時表現3 (20%) + 定期評量 (40%)</t>
        </is>
      </c>
    </row>
    <row r="5" ht="20" customHeight="1">
      <c r="A5" s="12" t="inlineStr">
        <is>
          <t>進步幅度</t>
        </is>
      </c>
      <c r="B5" s="13" t="inlineStr">
        <is>
          <t>本次綜合分數 - 上次綜合分數</t>
        </is>
      </c>
    </row>
    <row r="6" ht="20" customHeight="1">
      <c r="A6" s="12" t="inlineStr">
        <is>
          <t>樹木等級 5</t>
        </is>
      </c>
      <c r="B6" s="13" t="inlineStr">
        <is>
          <t>進步 &gt;= 5 分 ➜ 【5_茂盛大樹】 (大樹 + 茂密綠葉)</t>
        </is>
      </c>
    </row>
    <row r="7" ht="20" customHeight="1">
      <c r="A7" s="12" t="inlineStr">
        <is>
          <t>樹木等級 4</t>
        </is>
      </c>
      <c r="B7" s="13" t="inlineStr">
        <is>
          <t>進步 1 ~ 4.9 分 ➜ 【4_微幅成長】 (中樹 + 新芽綠葉)</t>
        </is>
      </c>
    </row>
    <row r="8" ht="20" customHeight="1">
      <c r="A8" s="12" t="inlineStr">
        <is>
          <t>樹木等級 3</t>
        </is>
      </c>
      <c r="B8" s="13" t="inlineStr">
        <is>
          <t>進步 0 ~ 0.9 分 ➜ 【3_小樹苗】 (維持原狀，初始小苗)</t>
        </is>
      </c>
    </row>
    <row r="9" ht="20" customHeight="1">
      <c r="A9" s="12" t="inlineStr">
        <is>
          <t>樹木等級 2</t>
        </is>
      </c>
      <c r="B9" s="13" t="inlineStr">
        <is>
          <t>退步 -0.1 ~ -4 分 ➜ 【2_些微落葉】 (小樹 + 部分黃葉掉落)</t>
        </is>
      </c>
    </row>
    <row r="10" ht="20" customHeight="1">
      <c r="A10" s="12" t="inlineStr">
        <is>
          <t>樹木等級 1</t>
        </is>
      </c>
      <c r="B10" s="13" t="inlineStr">
        <is>
          <t>退步 &lt;= -4.1 分 ➜ 【1_枯萎樹木】 (樹枝乾枯，無葉片)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2026-05-20T05:43:55Z</dcterms:created>
  <dcterms:modified xmlns:dcterms="http://purl.org/dc/terms/" xmlns:xsi="http://www.w3.org/2001/XMLSchema-instance" xsi:type="dcterms:W3CDTF">2026-05-20T05:43:55Z</dcterms:modified>
</cp:coreProperties>
</file>